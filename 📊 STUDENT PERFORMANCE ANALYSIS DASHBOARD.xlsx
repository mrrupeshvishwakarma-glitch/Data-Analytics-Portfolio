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F1AE4BAD-4D78-4083-AAA4-F4EF7C433F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udent Performance 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N4" i="1"/>
  <c r="N3" i="1"/>
  <c r="O5" i="1"/>
  <c r="O4" i="1"/>
  <c r="O3" i="1"/>
  <c r="K8" i="1"/>
  <c r="K7" i="1"/>
  <c r="K6" i="1"/>
  <c r="K5" i="1"/>
  <c r="K4" i="1"/>
  <c r="K3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" i="1"/>
  <c r="F2" i="1" s="1"/>
  <c r="H2" i="1" l="1" a="1"/>
  <c r="H2" i="1" s="1"/>
  <c r="G2" i="1"/>
  <c r="H21" i="1" a="1"/>
  <c r="H21" i="1" s="1"/>
  <c r="G21" i="1"/>
  <c r="H20" i="1" a="1"/>
  <c r="H20" i="1" s="1"/>
  <c r="G20" i="1"/>
  <c r="H19" i="1" a="1"/>
  <c r="H19" i="1" s="1"/>
  <c r="G19" i="1"/>
  <c r="H18" i="1" a="1"/>
  <c r="H18" i="1" s="1"/>
  <c r="G18" i="1"/>
  <c r="H17" i="1" a="1"/>
  <c r="H17" i="1" s="1"/>
  <c r="G17" i="1"/>
  <c r="H16" i="1" a="1"/>
  <c r="H16" i="1" s="1"/>
  <c r="G16" i="1"/>
  <c r="H15" i="1" a="1"/>
  <c r="H15" i="1" s="1"/>
  <c r="G15" i="1"/>
  <c r="H14" i="1" a="1"/>
  <c r="H14" i="1" s="1"/>
  <c r="G14" i="1"/>
  <c r="H13" i="1" a="1"/>
  <c r="H13" i="1" s="1"/>
  <c r="G13" i="1"/>
  <c r="H12" i="1" a="1"/>
  <c r="H12" i="1" s="1"/>
  <c r="G12" i="1"/>
  <c r="H11" i="1" a="1"/>
  <c r="H11" i="1" s="1"/>
  <c r="G11" i="1"/>
  <c r="H10" i="1" a="1"/>
  <c r="H10" i="1" s="1"/>
  <c r="G10" i="1"/>
  <c r="H9" i="1" a="1"/>
  <c r="H9" i="1" s="1"/>
  <c r="G9" i="1"/>
  <c r="H8" i="1" a="1"/>
  <c r="H8" i="1" s="1"/>
  <c r="G8" i="1"/>
  <c r="H7" i="1" a="1"/>
  <c r="H7" i="1" s="1"/>
  <c r="G7" i="1"/>
  <c r="H6" i="1" a="1"/>
  <c r="H6" i="1" s="1"/>
  <c r="G6" i="1"/>
  <c r="H5" i="1" a="1"/>
  <c r="H5" i="1" s="1"/>
  <c r="G5" i="1"/>
  <c r="H4" i="1" a="1"/>
  <c r="H4" i="1" s="1"/>
  <c r="G4" i="1"/>
  <c r="H3" i="1" a="1"/>
  <c r="H3" i="1" s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<sst xmlns="http://schemas.openxmlformats.org/spreadsheetml/2006/main" count="40" uniqueCount="40">
  <si>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>Student Name</t>
  </si>
  <si>
    <t>Maths Marks</t>
  </si>
  <si>
    <t>English Marks</t>
  </si>
  <si>
    <t>Science Marks</t>
  </si>
  <si>
    <t>Total Score</t>
  </si>
  <si>
    <t>Average (%)</t>
  </si>
  <si>
    <t>Result</t>
  </si>
  <si>
    <t>Grade</t>
  </si>
  <si>
    <t>Top 3 Students</t>
  </si>
  <si>
    <t>Rahul</t>
  </si>
  <si>
    <t>Metric</t>
  </si>
  <si>
    <t>Value</t>
  </si>
  <si>
    <t>Rank</t>
  </si>
  <si>
    <t>Name</t>
  </si>
  <si>
    <t>Percentage</t>
  </si>
  <si>
    <t>Amit</t>
  </si>
  <si>
    <t>Total Students</t>
  </si>
  <si>
    <t>Priya</t>
  </si>
  <si>
    <t>Passed Students</t>
  </si>
  <si>
    <t>Neha</t>
  </si>
  <si>
    <t>Failed Students</t>
  </si>
  <si>
    <t>Mohit</t>
  </si>
  <si>
    <t>Highest Score</t>
  </si>
  <si>
    <t>Pooja</t>
  </si>
  <si>
    <t>Average Class Score</t>
  </si>
  <si>
    <t>Rohan</t>
  </si>
  <si>
    <t>A Grade Students</t>
  </si>
  <si>
    <t>Anjali</t>
  </si>
  <si>
    <t>Karan</t>
  </si>
  <si>
    <t>Sneha</t>
  </si>
  <si>
    <t>Vivek</t>
  </si>
  <si>
    <t>Simran</t>
  </si>
  <si>
    <t>Arjun</t>
  </si>
  <si>
    <t>Komal</t>
  </si>
  <si>
    <t>Deepak</t>
  </si>
  <si>
    <t>Nisha</t>
  </si>
  <si>
    <t>Ajay</t>
  </si>
  <si>
    <t>Payal</t>
  </si>
  <si>
    <t>Suresh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</si>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</sst>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i/>
      <sz val="11"/>
      <color rgb="FFFFFF00"/>
      <name val="Bookman Old Style"/>
    </font>
    <font>
      <b/>
      <sz val="11"/>
      <color rgb="FFFFFF00"/>
      <name val="Cambria"/>
    </font>
    <font>
      <sz val="11"/>
      <color theme="1"/>
      <name val="Book Antiqua"/>
    </font>
    <font>
      <b/>
      <sz val="11"/>
      <color theme="0"/>
      <name val="Franklin Gothic"/>
    </font>
    <font>
      <sz val="11"/>
      <color rgb="FF000000"/>
      <name val="Book Antiqua"/>
    </font>
    <font>
      <b/>
      <sz val="11"/>
      <color theme="0"/>
      <name val="Aptos Narrow"/>
      <family val="2"/>
      <scheme val="minor"/>
    </font>
    <font>
      <sz val="14"/>
      <color rgb="FFFF0000"/>
      <name val="Franklin Gothic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1" fillId="2" borderId="4" xfId="0" applyFont="1" applyFill="1" applyBorder="1" applyAlignment="1">
      <alignment horizontal="center" indent="1"/>
    </xf>
    <xf numFmtId="0" fontId="1" fillId="2" borderId="5" xfId="0" applyFont="1" applyFill="1" applyBorder="1" applyAlignment="1">
      <alignment horizontal="center" indent="1"/>
    </xf>
    <xf numFmtId="0" fontId="2" fillId="2" borderId="5" xfId="0" applyFont="1" applyFill="1" applyBorder="1" applyAlignment="1">
      <alignment horizontal="center" indent="1"/>
    </xf>
    <xf numFmtId="0" fontId="2" fillId="2" borderId="6" xfId="0" applyFont="1" applyFill="1" applyBorder="1" applyAlignment="1">
      <alignment horizontal="center" indent="1"/>
    </xf>
    <xf numFmtId="0" fontId="0" fillId="0" borderId="2" xfId="0" applyBorder="1" applyAlignment="1">
      <alignment horizontal="center" indent="1"/>
    </xf>
    <xf numFmtId="0" fontId="0" fillId="0" borderId="1" xfId="0" applyBorder="1" applyAlignment="1">
      <alignment horizontal="center" indent="1"/>
    </xf>
    <xf numFmtId="2" fontId="0" fillId="0" borderId="1" xfId="0" applyNumberFormat="1" applyBorder="1" applyAlignment="1">
      <alignment horizontal="center" indent="1"/>
    </xf>
    <xf numFmtId="0" fontId="0" fillId="0" borderId="3" xfId="0" applyBorder="1" applyAlignment="1">
      <alignment horizontal="center" wrapText="1" indent="1"/>
    </xf>
    <xf numFmtId="0" fontId="0" fillId="0" borderId="7" xfId="0" applyBorder="1" applyAlignment="1">
      <alignment horizontal="center" indent="1"/>
    </xf>
    <xf numFmtId="0" fontId="0" fillId="0" borderId="8" xfId="0" applyBorder="1" applyAlignment="1">
      <alignment horizontal="center" indent="1"/>
    </xf>
    <xf numFmtId="2" fontId="0" fillId="0" borderId="8" xfId="0" applyNumberFormat="1" applyBorder="1" applyAlignment="1">
      <alignment horizontal="center" indent="1"/>
    </xf>
    <xf numFmtId="0" fontId="0" fillId="0" borderId="9" xfId="0" applyBorder="1" applyAlignment="1">
      <alignment horizontal="center" wrapText="1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7" fillId="4" borderId="0" xfId="0" applyFont="1" applyFill="1" applyAlignment="1">
      <alignment horizontal="center" wrapText="1"/>
    </xf>
    <xf numFmtId="2" fontId="0" fillId="0" borderId="0" xfId="0" applyNumberFormat="1" applyAlignment="1">
      <alignment horizontal="center" wrapText="1"/>
    </xf>
  </cellXfs>
  <cellStyles count="1">
    <cellStyle name="Normal" xfId="0" builtinId="0"/>
  </cellStyles>
  <dxfs count="13">
    <dxf>
      <alignment horizontal="center" vertical="bottom" textRotation="0" wrapText="1" relativeIndent="1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relativeInden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relativeInden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relativeInden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relativeInden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relativeInden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relativeInden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relativeIndent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relativeInden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Cambria"/>
        <scheme val="none"/>
      </font>
      <fill>
        <patternFill patternType="solid">
          <fgColor indexed="64"/>
          <bgColor theme="6"/>
        </patternFill>
      </fill>
      <alignment horizontal="center" vertical="bottom" textRotation="0" wrapText="0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2B5E27-17F0-48C1-BAC0-F8E2797F537A}" name="Table2" displayName="Table2" ref="A1:H21" totalsRowShown="0" headerRowDxfId="12" dataDxfId="11" headerRowBorderDxfId="9" tableBorderDxfId="10" totalsRowBorderDxfId="8">
  <autoFilter ref="A1:H21" xr:uid="{812B5E27-17F0-48C1-BAC0-F8E2797F537A}"/>
  <tableColumns count="8">
    <tableColumn id="1" xr3:uid="{A0A9A3ED-F1EA-497B-9434-3474EA76DA25}" name="Student Name" dataDxfId="7"/>
    <tableColumn id="2" xr3:uid="{DE72D89E-9965-42F1-85E4-BA12CD6612CD}" name="Maths Marks" dataDxfId="6"/>
    <tableColumn id="3" xr3:uid="{7BD13986-F679-4A67-98C7-A8890E938C68}" name="English Marks" dataDxfId="5"/>
    <tableColumn id="4" xr3:uid="{397F389A-9AAC-4E07-A734-18511B0731CD}" name="Science Marks" dataDxfId="4"/>
    <tableColumn id="5" xr3:uid="{EB4D7458-0D38-4266-8FC5-09C173080A54}" name="Total Score" dataDxfId="3">
      <calculatedColumnFormula>SUM(B2:D2)</calculatedColumnFormula>
    </tableColumn>
    <tableColumn id="6" xr3:uid="{C7520FDA-6598-47C8-B7A4-317D611D7107}" name="Average (%)" dataDxfId="2">
      <calculatedColumnFormula>E2/3</calculatedColumnFormula>
    </tableColumn>
    <tableColumn id="7" xr3:uid="{D28A0138-552C-4F13-B3A3-5631D0FCC378}" name="Result" dataDxfId="1">
      <calculatedColumnFormula>IF(F2&gt;=33, "PASS", "FAIL")</calculatedColumnFormula>
    </tableColumn>
    <tableColumn id="8" xr3:uid="{CDBB992F-A3C1-48DC-87FE-72CA09AF5838}" name="Grade" dataDxfId="0">
      <calculatedColumnFormula array="1">_xlfn.IFS(F2&gt;=90,"A",F2&gt;=75,"B",F2&gt;=60,"C",F2&gt;=33,"D","TRUE","FAIL")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M18" sqref="M18"/>
    </sheetView>
  </sheetViews>
  <sheetFormatPr defaultRowHeight="15"/>
  <cols>
    <col min="1" max="8" width="24.85546875" customWidth="1"/>
    <col min="9" max="9" width="5.7109375" customWidth="1"/>
    <col min="10" max="10" width="19.7109375" customWidth="1"/>
    <col min="11" max="11" width="18.140625" customWidth="1"/>
    <col min="12" max="12" width="13.5703125" customWidth="1"/>
    <col min="13" max="13" width="16.85546875" customWidth="1"/>
    <col min="14" max="14" width="20.42578125" customWidth="1"/>
    <col min="15" max="15" width="16.140625" customWidth="1"/>
  </cols>
  <sheetData>
    <row r="1" spans="1:15" ht="1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M1" s="17"/>
      <c r="N1" s="21" t="s">
        <v>8</v>
      </c>
    </row>
    <row r="2" spans="1:15">
      <c r="A2" s="6" t="s">
        <v>9</v>
      </c>
      <c r="B2" s="7">
        <v>95</v>
      </c>
      <c r="C2" s="7">
        <v>88</v>
      </c>
      <c r="D2" s="7">
        <v>92</v>
      </c>
      <c r="E2" s="7">
        <f>SUM(B2:D2)</f>
        <v>275</v>
      </c>
      <c r="F2" s="8">
        <f>E2/3</f>
        <v>91.666666666666671</v>
      </c>
      <c r="G2" s="7" t="str">
        <f>IF(F2&gt;=33, "PASS", "FAIL")</f>
        <v>PASS</v>
      </c>
      <c r="H2" s="9" t="str" cm="1">
        <f t="array" ref="H2">_xlfn.IFS(F2&gt;=90,"A",F2&gt;=75,"B",F2&gt;=60,"C",F2&gt;=33,"D","TRUE","FAIL")</f>
        <v>A</v>
      </c>
      <c r="J2" s="19" t="s">
        <v>10</v>
      </c>
      <c r="K2" s="19" t="s">
        <v>11</v>
      </c>
      <c r="M2" s="16" t="s">
        <v>12</v>
      </c>
      <c r="N2" s="16" t="s">
        <v>13</v>
      </c>
      <c r="O2" s="16" t="s">
        <v>14</v>
      </c>
    </row>
    <row r="3" spans="1:15" ht="15.75">
      <c r="A3" s="6" t="s">
        <v>15</v>
      </c>
      <c r="B3" s="7">
        <v>45</v>
      </c>
      <c r="C3" s="7">
        <v>60</v>
      </c>
      <c r="D3" s="7">
        <v>55</v>
      </c>
      <c r="E3" s="7">
        <f t="shared" ref="E3:E21" si="0">SUM(B3:D3)</f>
        <v>160</v>
      </c>
      <c r="F3" s="8">
        <f t="shared" ref="F3:F21" si="1">E3/3</f>
        <v>53.333333333333336</v>
      </c>
      <c r="G3" s="7" t="str">
        <f t="shared" ref="G3:G21" si="2">IF(F3&gt;=33, "PASS", "FAIL")</f>
        <v>PASS</v>
      </c>
      <c r="H3" s="9" t="str" cm="1">
        <f t="array" ref="H3">_xlfn.IFS(F3&gt;=90,"A",F3&gt;=75,"B",F3&gt;=60,"C",F3&gt;=33,"D","TRUE","FAIL")</f>
        <v>D</v>
      </c>
      <c r="J3" s="15" t="s">
        <v>16</v>
      </c>
      <c r="K3" s="20">
        <f>COUNTA(A3:A21)</f>
        <v>19</v>
      </c>
      <c r="M3" s="18">
        <v>1</v>
      </c>
      <c r="N3" t="str">
        <f>INDEX(A2:A20,MATCH(MAX(F2:F20),F2:F20,0))</f>
        <v>Karan</v>
      </c>
      <c r="O3" s="1">
        <f>LARGE(F2:F21,1)</f>
        <v>97.666666666666671</v>
      </c>
    </row>
    <row r="4" spans="1:15" ht="15.75">
      <c r="A4" s="6" t="s">
        <v>17</v>
      </c>
      <c r="B4" s="7">
        <v>78</v>
      </c>
      <c r="C4" s="7">
        <v>82</v>
      </c>
      <c r="D4" s="7">
        <v>75</v>
      </c>
      <c r="E4" s="7">
        <f t="shared" si="0"/>
        <v>235</v>
      </c>
      <c r="F4" s="8">
        <f t="shared" si="1"/>
        <v>78.333333333333329</v>
      </c>
      <c r="G4" s="7" t="str">
        <f t="shared" si="2"/>
        <v>PASS</v>
      </c>
      <c r="H4" s="9" t="str" cm="1">
        <f t="array" ref="H4">_xlfn.IFS(F4&gt;=90,"A",F4&gt;=75,"B",F4&gt;=60,"C",F4&gt;=33,"D","TRUE","FAIL")</f>
        <v>B</v>
      </c>
      <c r="J4" s="15" t="s">
        <v>18</v>
      </c>
      <c r="K4" s="22">
        <f>COUNTIF(G2:G21,"PASS")</f>
        <v>18</v>
      </c>
      <c r="L4" s="14"/>
      <c r="M4" s="14">
        <v>2</v>
      </c>
      <c r="N4" t="str">
        <f>INDEX(A2:A20,MATCH(LARGE(F2:F20,2),F2:F20,0))</f>
        <v>Rahul</v>
      </c>
      <c r="O4" s="1">
        <f>LARGE(F2:F21,2)</f>
        <v>91.666666666666671</v>
      </c>
    </row>
    <row r="5" spans="1:15" ht="16.5">
      <c r="A5" s="6" t="s">
        <v>19</v>
      </c>
      <c r="B5" s="7">
        <v>32</v>
      </c>
      <c r="C5" s="7">
        <v>40</v>
      </c>
      <c r="D5" s="7">
        <v>35</v>
      </c>
      <c r="E5" s="7">
        <f t="shared" si="0"/>
        <v>107</v>
      </c>
      <c r="F5" s="8">
        <f t="shared" si="1"/>
        <v>35.666666666666664</v>
      </c>
      <c r="G5" s="7" t="str">
        <f t="shared" si="2"/>
        <v>PASS</v>
      </c>
      <c r="H5" s="9" t="str" cm="1">
        <f t="array" ref="H5">_xlfn.IFS(F5&gt;=90,"A",F5&gt;=75,"B",F5&gt;=60,"C",F5&gt;=33,"D","TRUE","FAIL")</f>
        <v>D</v>
      </c>
      <c r="J5" s="15" t="s">
        <v>20</v>
      </c>
      <c r="K5" s="20">
        <f>COUNTIF(Table2[Result],"Fail")</f>
        <v>2</v>
      </c>
      <c r="L5" s="15"/>
      <c r="M5" s="14">
        <v>3</v>
      </c>
      <c r="N5" t="str">
        <f>INDEX(A2:A20,MATCH(LARGE(F2:F20,3),F2:F20,0))</f>
        <v>Deepak</v>
      </c>
      <c r="O5" s="1">
        <f>LARGE(F2:F21,3)</f>
        <v>91.333333333333329</v>
      </c>
    </row>
    <row r="6" spans="1:15" ht="16.5">
      <c r="A6" s="6" t="s">
        <v>21</v>
      </c>
      <c r="B6" s="7">
        <v>65</v>
      </c>
      <c r="C6" s="7">
        <v>70</v>
      </c>
      <c r="D6" s="7">
        <v>68</v>
      </c>
      <c r="E6" s="7">
        <f t="shared" si="0"/>
        <v>203</v>
      </c>
      <c r="F6" s="8">
        <f t="shared" si="1"/>
        <v>67.666666666666671</v>
      </c>
      <c r="G6" s="7" t="str">
        <f t="shared" si="2"/>
        <v>PASS</v>
      </c>
      <c r="H6" s="9" t="str" cm="1">
        <f t="array" ref="H6">_xlfn.IFS(F6&gt;=90,"A",F6&gt;=75,"B",F6&gt;=60,"C",F6&gt;=33,"D","TRUE","FAIL")</f>
        <v>C</v>
      </c>
      <c r="J6" s="15" t="s">
        <v>22</v>
      </c>
      <c r="K6" s="20">
        <f>MAX(Table2[Average (%)])</f>
        <v>97.666666666666671</v>
      </c>
      <c r="M6" s="14"/>
    </row>
    <row r="7" spans="1:15" ht="16.5">
      <c r="A7" s="6" t="s">
        <v>23</v>
      </c>
      <c r="B7" s="7">
        <v>89</v>
      </c>
      <c r="C7" s="7">
        <v>91</v>
      </c>
      <c r="D7" s="7">
        <v>87</v>
      </c>
      <c r="E7" s="7">
        <f t="shared" si="0"/>
        <v>267</v>
      </c>
      <c r="F7" s="8">
        <f t="shared" si="1"/>
        <v>89</v>
      </c>
      <c r="G7" s="7" t="str">
        <f t="shared" si="2"/>
        <v>PASS</v>
      </c>
      <c r="H7" s="9" t="str" cm="1">
        <f t="array" ref="H7">_xlfn.IFS(F7&gt;=90,"A",F7&gt;=75,"B",F7&gt;=60,"C",F7&gt;=33,"D","TRUE","FAIL")</f>
        <v>B</v>
      </c>
      <c r="J7" s="15" t="s">
        <v>24</v>
      </c>
      <c r="K7" s="20">
        <f>AVERAGE(Table2[Average (%)])</f>
        <v>65.133333333333354</v>
      </c>
    </row>
    <row r="8" spans="1:15" ht="16.5">
      <c r="A8" s="6" t="s">
        <v>25</v>
      </c>
      <c r="B8" s="7">
        <v>25</v>
      </c>
      <c r="C8" s="7">
        <v>30</v>
      </c>
      <c r="D8" s="7">
        <v>28</v>
      </c>
      <c r="E8" s="7">
        <f t="shared" si="0"/>
        <v>83</v>
      </c>
      <c r="F8" s="8">
        <f t="shared" si="1"/>
        <v>27.666666666666668</v>
      </c>
      <c r="G8" s="7" t="str">
        <f t="shared" si="2"/>
        <v>FAIL</v>
      </c>
      <c r="H8" s="9" t="str" cm="1">
        <f t="array" ref="H8">_xlfn.IFS(F8&gt;=90,"A",F8&gt;=75,"B",F8&gt;=60,"C",F8&gt;=33,"D","TRUE","FAIL")</f>
        <v>FAIL</v>
      </c>
      <c r="J8" s="15" t="s">
        <v>26</v>
      </c>
      <c r="K8" s="20">
        <f>COUNTIF(Table2[Grade],"A")</f>
        <v>3</v>
      </c>
    </row>
    <row r="9" spans="1:15">
      <c r="A9" s="6" t="s">
        <v>27</v>
      </c>
      <c r="B9" s="7">
        <v>55</v>
      </c>
      <c r="C9" s="7">
        <v>62</v>
      </c>
      <c r="D9" s="7">
        <v>58</v>
      </c>
      <c r="E9" s="7">
        <f t="shared" si="0"/>
        <v>175</v>
      </c>
      <c r="F9" s="8">
        <f t="shared" si="1"/>
        <v>58.333333333333336</v>
      </c>
      <c r="G9" s="7" t="str">
        <f t="shared" si="2"/>
        <v>PASS</v>
      </c>
      <c r="H9" s="9" t="str" cm="1">
        <f t="array" ref="H9">_xlfn.IFS(F9&gt;=90,"A",F9&gt;=75,"B",F9&gt;=60,"C",F9&gt;=33,"D","TRUE","FAIL")</f>
        <v>D</v>
      </c>
      <c r="K9" s="20"/>
    </row>
    <row r="10" spans="1:15">
      <c r="A10" s="6" t="s">
        <v>28</v>
      </c>
      <c r="B10" s="7">
        <v>98</v>
      </c>
      <c r="C10" s="7">
        <v>96</v>
      </c>
      <c r="D10" s="7">
        <v>99</v>
      </c>
      <c r="E10" s="7">
        <f t="shared" si="0"/>
        <v>293</v>
      </c>
      <c r="F10" s="8">
        <f t="shared" si="1"/>
        <v>97.666666666666671</v>
      </c>
      <c r="G10" s="7" t="str">
        <f t="shared" si="2"/>
        <v>PASS</v>
      </c>
      <c r="H10" s="9" t="str" cm="1">
        <f t="array" ref="H10">_xlfn.IFS(F10&gt;=90,"A",F10&gt;=75,"B",F10&gt;=60,"C",F10&gt;=33,"D","TRUE","FAIL")</f>
        <v>A</v>
      </c>
      <c r="K10" s="14"/>
    </row>
    <row r="11" spans="1:15">
      <c r="A11" s="6" t="s">
        <v>29</v>
      </c>
      <c r="B11" s="7">
        <v>72</v>
      </c>
      <c r="C11" s="7">
        <v>68</v>
      </c>
      <c r="D11" s="7">
        <v>74</v>
      </c>
      <c r="E11" s="7">
        <f t="shared" si="0"/>
        <v>214</v>
      </c>
      <c r="F11" s="8">
        <f t="shared" si="1"/>
        <v>71.333333333333329</v>
      </c>
      <c r="G11" s="7" t="str">
        <f t="shared" si="2"/>
        <v>PASS</v>
      </c>
      <c r="H11" s="9" t="str" cm="1">
        <f t="array" ref="H11">_xlfn.IFS(F11&gt;=90,"A",F11&gt;=75,"B",F11&gt;=60,"C",F11&gt;=33,"D","TRUE","FAIL")</f>
        <v>C</v>
      </c>
      <c r="K11" s="18"/>
      <c r="L11" s="14"/>
    </row>
    <row r="12" spans="1:15">
      <c r="A12" s="6" t="s">
        <v>30</v>
      </c>
      <c r="B12" s="7">
        <v>38</v>
      </c>
      <c r="C12" s="7">
        <v>42</v>
      </c>
      <c r="D12" s="7">
        <v>45</v>
      </c>
      <c r="E12" s="7">
        <f t="shared" si="0"/>
        <v>125</v>
      </c>
      <c r="F12" s="8">
        <f t="shared" si="1"/>
        <v>41.666666666666664</v>
      </c>
      <c r="G12" s="7" t="str">
        <f t="shared" si="2"/>
        <v>PASS</v>
      </c>
      <c r="H12" s="9" t="str" cm="1">
        <f t="array" ref="H12">_xlfn.IFS(F12&gt;=90,"A",F12&gt;=75,"B",F12&gt;=60,"C",F12&gt;=33,"D","TRUE","FAIL")</f>
        <v>D</v>
      </c>
      <c r="K12" s="18"/>
      <c r="L12" s="14"/>
    </row>
    <row r="13" spans="1:15">
      <c r="A13" s="6" t="s">
        <v>31</v>
      </c>
      <c r="B13" s="7">
        <v>84</v>
      </c>
      <c r="C13" s="7">
        <v>80</v>
      </c>
      <c r="D13" s="7">
        <v>86</v>
      </c>
      <c r="E13" s="7">
        <f t="shared" si="0"/>
        <v>250</v>
      </c>
      <c r="F13" s="8">
        <f t="shared" si="1"/>
        <v>83.333333333333329</v>
      </c>
      <c r="G13" s="7" t="str">
        <f t="shared" si="2"/>
        <v>PASS</v>
      </c>
      <c r="H13" s="9" t="str" cm="1">
        <f t="array" ref="H13">_xlfn.IFS(F13&gt;=90,"A",F13&gt;=75,"B",F13&gt;=60,"C",F13&gt;=33,"D","TRUE","FAIL")</f>
        <v>B</v>
      </c>
      <c r="K13" s="18"/>
      <c r="L13" s="14"/>
    </row>
    <row r="14" spans="1:15">
      <c r="A14" s="6" t="s">
        <v>32</v>
      </c>
      <c r="B14" s="7">
        <v>29</v>
      </c>
      <c r="C14" s="7">
        <v>35</v>
      </c>
      <c r="D14" s="7">
        <v>31</v>
      </c>
      <c r="E14" s="7">
        <f t="shared" si="0"/>
        <v>95</v>
      </c>
      <c r="F14" s="8">
        <f t="shared" si="1"/>
        <v>31.666666666666668</v>
      </c>
      <c r="G14" s="7" t="str">
        <f t="shared" si="2"/>
        <v>FAIL</v>
      </c>
      <c r="H14" s="9" t="str" cm="1">
        <f t="array" ref="H14">_xlfn.IFS(F14&gt;=90,"A",F14&gt;=75,"B",F14&gt;=60,"C",F14&gt;=33,"D","TRUE","FAIL")</f>
        <v>FAIL</v>
      </c>
      <c r="K14" s="18"/>
      <c r="L14" s="14"/>
    </row>
    <row r="15" spans="1:15">
      <c r="A15" s="6" t="s">
        <v>33</v>
      </c>
      <c r="B15" s="7">
        <v>67</v>
      </c>
      <c r="C15" s="7">
        <v>73</v>
      </c>
      <c r="D15" s="7">
        <v>70</v>
      </c>
      <c r="E15" s="7">
        <f t="shared" si="0"/>
        <v>210</v>
      </c>
      <c r="F15" s="8">
        <f t="shared" si="1"/>
        <v>70</v>
      </c>
      <c r="G15" s="7" t="str">
        <f t="shared" si="2"/>
        <v>PASS</v>
      </c>
      <c r="H15" s="9" t="str" cm="1">
        <f t="array" ref="H15">_xlfn.IFS(F15&gt;=90,"A",F15&gt;=75,"B",F15&gt;=60,"C",F15&gt;=33,"D","TRUE","FAIL")</f>
        <v>C</v>
      </c>
    </row>
    <row r="16" spans="1:15">
      <c r="A16" s="6" t="s">
        <v>34</v>
      </c>
      <c r="B16" s="7">
        <v>91</v>
      </c>
      <c r="C16" s="7">
        <v>89</v>
      </c>
      <c r="D16" s="7">
        <v>94</v>
      </c>
      <c r="E16" s="7">
        <f t="shared" si="0"/>
        <v>274</v>
      </c>
      <c r="F16" s="8">
        <f t="shared" si="1"/>
        <v>91.333333333333329</v>
      </c>
      <c r="G16" s="7" t="str">
        <f t="shared" si="2"/>
        <v>PASS</v>
      </c>
      <c r="H16" s="9" t="str" cm="1">
        <f t="array" ref="H16">_xlfn.IFS(F16&gt;=90,"A",F16&gt;=75,"B",F16&gt;=60,"C",F16&gt;=33,"D","TRUE","FAIL")</f>
        <v>A</v>
      </c>
    </row>
    <row r="17" spans="1:8">
      <c r="A17" s="6" t="s">
        <v>35</v>
      </c>
      <c r="B17" s="7">
        <v>58</v>
      </c>
      <c r="C17" s="7">
        <v>61</v>
      </c>
      <c r="D17" s="7">
        <v>64</v>
      </c>
      <c r="E17" s="7">
        <f t="shared" si="0"/>
        <v>183</v>
      </c>
      <c r="F17" s="8">
        <f t="shared" si="1"/>
        <v>61</v>
      </c>
      <c r="G17" s="7" t="str">
        <f t="shared" si="2"/>
        <v>PASS</v>
      </c>
      <c r="H17" s="9" t="str" cm="1">
        <f t="array" ref="H17">_xlfn.IFS(F17&gt;=90,"A",F17&gt;=75,"B",F17&gt;=60,"C",F17&gt;=33,"D","TRUE","FAIL")</f>
        <v>C</v>
      </c>
    </row>
    <row r="18" spans="1:8">
      <c r="A18" s="6" t="s">
        <v>36</v>
      </c>
      <c r="B18" s="7">
        <v>47</v>
      </c>
      <c r="C18" s="7">
        <v>50</v>
      </c>
      <c r="D18" s="7">
        <v>52</v>
      </c>
      <c r="E18" s="7">
        <f t="shared" si="0"/>
        <v>149</v>
      </c>
      <c r="F18" s="8">
        <f t="shared" si="1"/>
        <v>49.666666666666664</v>
      </c>
      <c r="G18" s="7" t="str">
        <f t="shared" si="2"/>
        <v>PASS</v>
      </c>
      <c r="H18" s="9" t="str" cm="1">
        <f t="array" ref="H18">_xlfn.IFS(F18&gt;=90,"A",F18&gt;=75,"B",F18&gt;=60,"C",F18&gt;=33,"D","TRUE","FAIL")</f>
        <v>D</v>
      </c>
    </row>
    <row r="19" spans="1:8">
      <c r="A19" s="6" t="s">
        <v>37</v>
      </c>
      <c r="B19" s="7">
        <v>76</v>
      </c>
      <c r="C19" s="7">
        <v>79</v>
      </c>
      <c r="D19" s="7">
        <v>81</v>
      </c>
      <c r="E19" s="7">
        <f t="shared" si="0"/>
        <v>236</v>
      </c>
      <c r="F19" s="8">
        <f t="shared" si="1"/>
        <v>78.666666666666671</v>
      </c>
      <c r="G19" s="7" t="str">
        <f t="shared" si="2"/>
        <v>PASS</v>
      </c>
      <c r="H19" s="9" t="str" cm="1">
        <f t="array" ref="H19">_xlfn.IFS(F19&gt;=90,"A",F19&gt;=75,"B",F19&gt;=60,"C",F19&gt;=33,"D","TRUE","FAIL")</f>
        <v>B</v>
      </c>
    </row>
    <row r="20" spans="1:8">
      <c r="A20" s="6" t="s">
        <v>38</v>
      </c>
      <c r="B20" s="7">
        <v>34</v>
      </c>
      <c r="C20" s="7">
        <v>37</v>
      </c>
      <c r="D20" s="7">
        <v>40</v>
      </c>
      <c r="E20" s="7">
        <f t="shared" si="0"/>
        <v>111</v>
      </c>
      <c r="F20" s="8">
        <f t="shared" si="1"/>
        <v>37</v>
      </c>
      <c r="G20" s="7" t="str">
        <f t="shared" si="2"/>
        <v>PASS</v>
      </c>
      <c r="H20" s="9" t="str" cm="1">
        <f t="array" ref="H20">_xlfn.IFS(F20&gt;=90,"A",F20&gt;=75,"B",F20&gt;=60,"C",F20&gt;=33,"D","TRUE","FAIL")</f>
        <v>D</v>
      </c>
    </row>
    <row r="21" spans="1:8">
      <c r="A21" s="10" t="s">
        <v>39</v>
      </c>
      <c r="B21" s="11">
        <v>88</v>
      </c>
      <c r="C21" s="11">
        <v>85</v>
      </c>
      <c r="D21" s="11">
        <v>90</v>
      </c>
      <c r="E21" s="11">
        <f t="shared" si="0"/>
        <v>263</v>
      </c>
      <c r="F21" s="12">
        <f t="shared" si="1"/>
        <v>87.666666666666671</v>
      </c>
      <c r="G21" s="11" t="str">
        <f t="shared" si="2"/>
        <v>PASS</v>
      </c>
      <c r="H21" s="13" t="str" cm="1">
        <f t="array" ref="H21">_xlfn.IFS(F21&gt;=90,"A",F21&gt;=75,"B",F21&gt;=60,"C",F21&gt;=33,"D","TRUE","FAIL")</f>
        <v>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2026-06-03T12:11:55Z</dcterms:created>
  <dcterms:modified xsi:type="dcterms:W3CDTF">2026-06-04T03:24:31Z</dcterms:modified>
  <cp:category/>
  <cp:contentStatus/>
</cp:coreProperties>
</file>